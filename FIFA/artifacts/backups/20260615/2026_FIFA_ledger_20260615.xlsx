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zezhang/Downloads/"/>
    </mc:Choice>
  </mc:AlternateContent>
  <xr:revisionPtr revIDLastSave="0" documentId="13_ncr:1_{8CDC29F5-BED9-5E46-A3D1-C6A1030458D1}" xr6:coauthVersionLast="47" xr6:coauthVersionMax="47" xr10:uidLastSave="{00000000-0000-0000-0000-000000000000}"/>
  <bookViews>
    <workbookView xWindow="1080" yWindow="1080" windowWidth="27640" windowHeight="16440" xr2:uid="{CEA97343-88DD-984A-9E43-F73EF5562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1" l="1"/>
  <c r="J15" i="1"/>
  <c r="K20" i="1"/>
  <c r="K14" i="1"/>
  <c r="K17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10" i="1"/>
  <c r="K111" i="1"/>
  <c r="K13" i="1"/>
  <c r="K12" i="1"/>
  <c r="K11" i="1"/>
  <c r="G14" i="1"/>
  <c r="H10" i="1"/>
  <c r="K9" i="1"/>
  <c r="J8" i="1"/>
  <c r="J7" i="1"/>
  <c r="K6" i="1"/>
  <c r="K5" i="1"/>
  <c r="K16" i="1" l="1"/>
  <c r="K15" i="1"/>
  <c r="E2" i="1"/>
  <c r="D2" i="1"/>
  <c r="B2" i="1"/>
  <c r="K10" i="1"/>
  <c r="K8" i="1"/>
  <c r="K7" i="1"/>
  <c r="C2" i="1" l="1"/>
  <c r="F2" i="1" l="1"/>
</calcChain>
</file>

<file path=xl/sharedStrings.xml><?xml version="1.0" encoding="utf-8"?>
<sst xmlns="http://schemas.openxmlformats.org/spreadsheetml/2006/main" count="170" uniqueCount="105">
  <si>
    <t>Initial Balance</t>
  </si>
  <si>
    <t>Current Balance</t>
  </si>
  <si>
    <t>Profit</t>
  </si>
  <si>
    <t>Time</t>
  </si>
  <si>
    <t>Date</t>
  </si>
  <si>
    <t>Sector</t>
  </si>
  <si>
    <t>Match</t>
  </si>
  <si>
    <t>Markets</t>
  </si>
  <si>
    <t>Bet</t>
  </si>
  <si>
    <t>Odds</t>
  </si>
  <si>
    <t>Stake</t>
  </si>
  <si>
    <t>Result</t>
  </si>
  <si>
    <t>Payout</t>
  </si>
  <si>
    <t>Reason</t>
  </si>
  <si>
    <t>Matches</t>
  </si>
  <si>
    <t>Mexico vs South Africa</t>
  </si>
  <si>
    <t>Mexico</t>
  </si>
  <si>
    <t>是</t>
  </si>
  <si>
    <t>市场压倒性认为Mexico会赢，因韩国与捷克不分伯仲，追投该场比赛</t>
  </si>
  <si>
    <t>Team Total Goals O/U</t>
  </si>
  <si>
    <t>Mexico Over 0.5 Goals</t>
  </si>
  <si>
    <t>Canada vs Bosnia and Herzegovina</t>
  </si>
  <si>
    <t>Team To Score</t>
  </si>
  <si>
    <t>Canada</t>
  </si>
  <si>
    <t>市场压倒性认为Canada会赢，Bosnia是新队，第一次参加FIFA，Canada也不是强队，没有分析Canada历史数据</t>
  </si>
  <si>
    <t>United States vs Paraguay</t>
  </si>
  <si>
    <t>USA Over 0.5 Goals</t>
  </si>
  <si>
    <t>Qatar vs Switzerland</t>
  </si>
  <si>
    <t>Brazil vs Morocco</t>
  </si>
  <si>
    <t>Brazil</t>
  </si>
  <si>
    <t>Haiti vs Scotland</t>
  </si>
  <si>
    <t>Germany vs Curaçao</t>
  </si>
  <si>
    <t>Germany</t>
  </si>
  <si>
    <t>Spain vs Cape Verde</t>
  </si>
  <si>
    <t>Spain</t>
  </si>
  <si>
    <t>USA</t>
  </si>
  <si>
    <t>Group Betting</t>
  </si>
  <si>
    <t>Group C</t>
  </si>
  <si>
    <t>Group Winner</t>
  </si>
  <si>
    <t>France vs Senegal</t>
  </si>
  <si>
    <t>Iraq vs Norway</t>
  </si>
  <si>
    <t>Argentina vs Algeria</t>
  </si>
  <si>
    <t>Portugal vs DR Congo</t>
  </si>
  <si>
    <t>Uzbekistan vs Colombia</t>
  </si>
  <si>
    <t>Canada vs Qatar</t>
  </si>
  <si>
    <t>Mexico vs South Korea</t>
  </si>
  <si>
    <t>United States vs Australia</t>
  </si>
  <si>
    <t>Scotland vs Morocco</t>
  </si>
  <si>
    <t>Brazil vs Haiti</t>
  </si>
  <si>
    <t>Turkey vs Paraguay</t>
  </si>
  <si>
    <t>Netherlands vs Sweden</t>
  </si>
  <si>
    <t>Germany vs Ivory Coast</t>
  </si>
  <si>
    <t>Ecuador vs Curaçao</t>
  </si>
  <si>
    <t>Tunisia vs Japan</t>
  </si>
  <si>
    <t>Spain vs Saudi Arabia</t>
  </si>
  <si>
    <t>Belgium vs Iran</t>
  </si>
  <si>
    <t>Uruguay vs Cape Verde</t>
  </si>
  <si>
    <t>New Zealand vs Egypt</t>
  </si>
  <si>
    <t>Argentina vs Austria</t>
  </si>
  <si>
    <t>France vs Iraq</t>
  </si>
  <si>
    <t>Norway vs Senegal</t>
  </si>
  <si>
    <t>Jordan vs Algeria</t>
  </si>
  <si>
    <t>Portugal vs Uzbekistan</t>
  </si>
  <si>
    <t>England vs Ghana</t>
  </si>
  <si>
    <t>Panama vs Croatia</t>
  </si>
  <si>
    <t>Colombia vs DR Congo</t>
  </si>
  <si>
    <t>Bosnia and Herzegovina vs Qatar</t>
  </si>
  <si>
    <t>Switzerland vs Canada</t>
  </si>
  <si>
    <t>Morocco vs Haiti</t>
  </si>
  <si>
    <t>Scotland vs Brazil</t>
  </si>
  <si>
    <t>Czechia vs Mexico</t>
  </si>
  <si>
    <t>South Africa vs South Korea</t>
  </si>
  <si>
    <t>Curaçao vs Ivory Coast</t>
  </si>
  <si>
    <t>Ecuador vs Germany</t>
  </si>
  <si>
    <t>Japan vs Sweden</t>
  </si>
  <si>
    <t>Tunisia vs Netherlands</t>
  </si>
  <si>
    <t>Paraguay vs Australia</t>
  </si>
  <si>
    <t>Turkey vs United States</t>
  </si>
  <si>
    <t>Norway vs France</t>
  </si>
  <si>
    <t>Senegal vs Iraq</t>
  </si>
  <si>
    <t>Cape Verde vs Saudi Arabia</t>
  </si>
  <si>
    <t>Uruguay vs Spain</t>
  </si>
  <si>
    <t>Egypt vs Iran</t>
  </si>
  <si>
    <t>New Zealand vs Belgium</t>
  </si>
  <si>
    <t>Croatia vs Ghana</t>
  </si>
  <si>
    <t>Panama vs England</t>
  </si>
  <si>
    <t>Colombia vs Portugal</t>
  </si>
  <si>
    <t>DR Congo vs Uzbekistan</t>
  </si>
  <si>
    <t>Algeria vs Austria</t>
  </si>
  <si>
    <t>Jordan vs Argentina</t>
  </si>
  <si>
    <t>Group E</t>
  </si>
  <si>
    <t>Group I</t>
  </si>
  <si>
    <t>France</t>
  </si>
  <si>
    <t>Not to Qualify</t>
  </si>
  <si>
    <t>Iraq</t>
  </si>
  <si>
    <t>Group C + E + I</t>
  </si>
  <si>
    <t>Brazil Germany France</t>
  </si>
  <si>
    <t/>
  </si>
  <si>
    <t>平均权重</t>
  </si>
  <si>
    <t>加权权重</t>
  </si>
  <si>
    <t>Switzerland</t>
  </si>
  <si>
    <t>收益率</t>
  </si>
  <si>
    <t>Total Goals O/U</t>
  </si>
  <si>
    <t>Under 4.5 Goals</t>
  </si>
  <si>
    <t>Spain Under 4.5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</si>
</sst>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$-C09]#,##0.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22">
    <dxf>
      <alignment horizontal="center" vertical="center" textRotation="0" wrapText="0" indent="0" justifyLastLine="0" shrinkToFit="0" readingOrder="0"/>
    </dxf>
    <dxf>
      <numFmt numFmtId="165" formatCode="[$$-C09]#,##0.00"/>
      <alignment horizontal="center" vertical="center" textRotation="0" wrapText="0" indent="0" justifyLastLine="0" shrinkToFit="0" readingOrder="0"/>
    </dxf>
    <dxf>
      <numFmt numFmtId="165" formatCode="[$$-C09]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$-C09]#,##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5A1B4B-AAD9-2745-908F-DECF88BCE455}" name="Table3" displayName="Table3" ref="A1:F2" totalsRowShown="0" headerRowDxfId="21" dataDxfId="20">
  <autoFilter ref="A1:F2" xr:uid="{675A1B4B-AAD9-2745-908F-DECF88BCE455}"/>
  <tableColumns count="6">
    <tableColumn id="1" xr3:uid="{7DB7AD7F-242D-2F4B-9116-3E0A30AEDCE1}" name="Initial Balance" dataDxfId="19"/>
    <tableColumn id="2" xr3:uid="{A0879007-FF24-974E-B07B-F9F58CCED8F9}" name="Current Balance" dataDxfId="18">
      <calculatedColumnFormula>Table3[[#This Row],[Initial Balance]]-SUM(Table4[Stake])+SUM(Table4[Payout])-250</calculatedColumnFormula>
    </tableColumn>
    <tableColumn id="3" xr3:uid="{92276FB7-C44A-1841-BF27-5D829D24FDBF}" name="Profit" dataDxfId="17">
      <calculatedColumnFormula>SUM(Table4[Profit])-(250-78.32)</calculatedColumnFormula>
    </tableColumn>
    <tableColumn id="4" xr3:uid="{482251BC-C99B-934E-A127-7B3EA070239C}" name="平均权重" dataDxfId="16">
      <calculatedColumnFormula>AVERAGE((Table4[Odds]))</calculatedColumnFormula>
    </tableColumn>
    <tableColumn id="5" xr3:uid="{3C5E34D0-8CE4-9749-B894-082CF3C111A1}" name="加权权重" dataDxfId="15">
      <calculatedColumnFormula>SUMPRODUCT(Table4[Odds],Table4[Stake])/SUM(Table4[Stake])</calculatedColumnFormula>
    </tableColumn>
    <tableColumn id="6" xr3:uid="{F10C60EA-4C36-204F-93A3-51C12A118EC6}" name="收益率" dataDxfId="14" dataCellStyle="Per cent">
      <calculatedColumnFormula>Table3[[#This Row],[Profit]]/Table3[[#This Row],[Initial Balance]]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7CBF32-ED7D-1D4B-9169-EEB15BCCA5F1}" name="Table4" displayName="Table4" ref="A4:L111" totalsRowShown="0" headerRowDxfId="13" dataDxfId="12">
  <autoFilter ref="A4:L111" xr:uid="{B67CBF32-ED7D-1D4B-9169-EEB15BCCA5F1}"/>
  <sortState xmlns:xlrd2="http://schemas.microsoft.com/office/spreadsheetml/2017/richdata2" ref="A5:L111">
    <sortCondition ref="B4:B111"/>
  </sortState>
  <tableColumns count="12">
    <tableColumn id="1" xr3:uid="{8A892312-9C87-0948-8354-56FC14D993DA}" name="Time" dataDxfId="11"/>
    <tableColumn id="2" xr3:uid="{0FCF8657-282C-0845-AE98-7C95286F9D7B}" name="Date" dataDxfId="10"/>
    <tableColumn id="3" xr3:uid="{DF622003-616D-CC45-A0CE-9432F2F91C54}" name="Sector" dataDxfId="9"/>
    <tableColumn id="4" xr3:uid="{201A3EC3-48D2-6E4A-9647-7CE8642BA4F6}" name="Match" dataDxfId="8"/>
    <tableColumn id="5" xr3:uid="{A1552443-20C5-4646-B604-E0C54E22FA4D}" name="Markets" dataDxfId="7"/>
    <tableColumn id="6" xr3:uid="{C44C3950-F0AC-DC49-A161-829395F5CCEB}" name="Bet" dataDxfId="6"/>
    <tableColumn id="7" xr3:uid="{B77B28B1-19EE-FD4B-8922-4FC15EB2818E}" name="Odds" dataDxfId="5"/>
    <tableColumn id="8" xr3:uid="{337CD702-47A1-CD48-8DD0-DBE302E9E856}" name="Stake" dataDxfId="4"/>
    <tableColumn id="9" xr3:uid="{EF795F81-00D5-1344-8F45-FC84B4AE331D}" name="Result" dataDxfId="3"/>
    <tableColumn id="10" xr3:uid="{2B1B01D0-651E-E449-87DA-AF76189B7740}" name="Payout" dataDxfId="2"/>
    <tableColumn id="11" xr3:uid="{CCF7CE92-2004-4A47-936C-77AB5945FAFA}" name="Profit" dataDxfId="1"/>
    <tableColumn id="12" xr3:uid="{027A9D61-65FF-F94E-ADC3-22F08B2FE4A9}" name="R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93F9B-78FF-E043-A8E3-F4476291A2A0}">
  <dimension ref="A1:L111"/>
  <sheetViews>
    <sheetView tabSelected="1" workbookViewId="0">
      <selection activeCell="K8" sqref="K8"/>
    </sheetView>
  </sheetViews>
  <sheetFormatPr baseColWidth="10" defaultRowHeight="16" x14ac:dyDescent="0.2"/>
  <cols>
    <col min="1" max="1" width="15.1640625" style="1" customWidth="1"/>
    <col min="2" max="2" width="16.83203125" style="1" customWidth="1"/>
    <col min="3" max="3" width="12.33203125" style="1" bestFit="1" customWidth="1"/>
    <col min="4" max="4" width="32.83203125" style="1" bestFit="1" customWidth="1"/>
    <col min="5" max="5" width="18.5" style="1" bestFit="1" customWidth="1"/>
    <col min="6" max="6" width="19.6640625" style="1" bestFit="1" customWidth="1"/>
    <col min="7" max="7" width="7.83203125" style="1" customWidth="1"/>
    <col min="8" max="8" width="10.83203125" style="1" bestFit="1" customWidth="1"/>
    <col min="9" max="9" width="8.83203125" style="1" customWidth="1"/>
    <col min="10" max="10" width="9.1640625" style="1" customWidth="1"/>
    <col min="11" max="11" width="10.83203125" style="1" bestFit="1" customWidth="1"/>
    <col min="12" max="12" width="99.5" style="1" bestFit="1" customWidth="1"/>
    <col min="13" max="16384" width="10.83203125" style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98</v>
      </c>
      <c r="E1" s="1" t="s">
        <v>99</v>
      </c>
      <c r="F1" s="1" t="s">
        <v>101</v>
      </c>
    </row>
    <row r="2" spans="1:12" x14ac:dyDescent="0.2">
      <c r="A2" s="1">
        <v>7750</v>
      </c>
      <c r="B2" s="5">
        <f>Table3[[#This Row],[Initial Balance]]-SUM(Table4[Stake])+SUM(Table4[Payout])-250</f>
        <v>0.46000000000003638</v>
      </c>
      <c r="C2" s="5">
        <f>SUM(Table4[Profit])-(250-78.32)</f>
        <v>-5408.72</v>
      </c>
      <c r="D2" s="2">
        <f>AVERAGE((Table4[Odds]))</f>
        <v>1.4036628571428569</v>
      </c>
      <c r="E2" s="2">
        <f>SUMPRODUCT(Table4[Odds],Table4[Stake])/SUM(Table4[Stake])</f>
        <v>1.5064032062633981</v>
      </c>
      <c r="F2" s="6">
        <f>Table3[[#This Row],[Profit]]/Table3[[#This Row],[Initial Balance]]</f>
        <v>-0.69789935483870968</v>
      </c>
    </row>
    <row r="4" spans="1:12" x14ac:dyDescent="0.2">
      <c r="A4" s="4" t="s">
        <v>3</v>
      </c>
      <c r="B4" s="3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2" t="s">
        <v>9</v>
      </c>
      <c r="H4" s="5" t="s">
        <v>10</v>
      </c>
      <c r="I4" s="1" t="s">
        <v>11</v>
      </c>
      <c r="J4" s="5" t="s">
        <v>12</v>
      </c>
      <c r="K4" s="5" t="s">
        <v>2</v>
      </c>
      <c r="L4" s="1" t="s">
        <v>13</v>
      </c>
    </row>
    <row r="5" spans="1:12" x14ac:dyDescent="0.2">
      <c r="A5" s="4">
        <v>0.20833333333333334</v>
      </c>
      <c r="B5" s="3">
        <v>46185</v>
      </c>
      <c r="C5" s="1" t="s">
        <v>14</v>
      </c>
      <c r="D5" s="1" t="s">
        <v>15</v>
      </c>
      <c r="E5" s="1" t="s">
        <v>11</v>
      </c>
      <c r="F5" s="1" t="s">
        <v>16</v>
      </c>
      <c r="G5" s="2">
        <v>1.42</v>
      </c>
      <c r="H5" s="5">
        <v>400</v>
      </c>
      <c r="I5" s="1" t="s">
        <v>17</v>
      </c>
      <c r="J5" s="5">
        <v>568</v>
      </c>
      <c r="K5" s="5">
        <f>Table4[[#This Row],[Payout]]-Table4[[#This Row],[Stake]]</f>
        <v>168</v>
      </c>
      <c r="L5" s="1" t="s">
        <v>18</v>
      </c>
    </row>
    <row r="6" spans="1:12" x14ac:dyDescent="0.2">
      <c r="A6" s="4">
        <v>0.20833333333333334</v>
      </c>
      <c r="B6" s="3">
        <v>46185</v>
      </c>
      <c r="C6" s="1" t="s">
        <v>14</v>
      </c>
      <c r="D6" s="1" t="s">
        <v>15</v>
      </c>
      <c r="E6" s="1" t="s">
        <v>19</v>
      </c>
      <c r="F6" s="1" t="s">
        <v>20</v>
      </c>
      <c r="G6" s="2">
        <v>1.1299999999999999</v>
      </c>
      <c r="H6" s="5">
        <v>100</v>
      </c>
      <c r="I6" s="1" t="s">
        <v>17</v>
      </c>
      <c r="J6" s="5">
        <v>112.99999999999999</v>
      </c>
      <c r="K6" s="5">
        <f>Table4[[#This Row],[Payout]]-Table4[[#This Row],[Stake]]</f>
        <v>12.999999999999986</v>
      </c>
    </row>
    <row r="7" spans="1:12" x14ac:dyDescent="0.2">
      <c r="A7" s="4">
        <v>0.20833333333333334</v>
      </c>
      <c r="B7" s="3">
        <v>46186</v>
      </c>
      <c r="C7" s="1" t="s">
        <v>14</v>
      </c>
      <c r="D7" s="1" t="s">
        <v>21</v>
      </c>
      <c r="E7" s="1" t="s">
        <v>22</v>
      </c>
      <c r="F7" s="1" t="s">
        <v>23</v>
      </c>
      <c r="G7" s="2">
        <v>1.7747999999999999</v>
      </c>
      <c r="H7" s="5">
        <v>200</v>
      </c>
      <c r="I7" s="1" t="s">
        <v>17</v>
      </c>
      <c r="J7" s="5">
        <f>Table4[[#This Row],[Odds]]*Table4[[#This Row],[Stake]]</f>
        <v>354.96</v>
      </c>
      <c r="K7" s="5">
        <f>Table4[[#This Row],[Payout]]-Table4[[#This Row],[Stake]]</f>
        <v>154.95999999999998</v>
      </c>
      <c r="L7" s="1" t="s">
        <v>24</v>
      </c>
    </row>
    <row r="8" spans="1:12" x14ac:dyDescent="0.2">
      <c r="A8" s="4">
        <v>0.45833333333333331</v>
      </c>
      <c r="B8" s="3">
        <v>46186</v>
      </c>
      <c r="C8" s="1" t="s">
        <v>14</v>
      </c>
      <c r="D8" s="1" t="s">
        <v>25</v>
      </c>
      <c r="E8" s="1" t="s">
        <v>19</v>
      </c>
      <c r="F8" s="1" t="s">
        <v>26</v>
      </c>
      <c r="G8" s="2">
        <v>1.26</v>
      </c>
      <c r="H8" s="5">
        <v>100</v>
      </c>
      <c r="I8" s="1" t="s">
        <v>17</v>
      </c>
      <c r="J8" s="5">
        <f>Table4[[#This Row],[Odds]]*Table4[[#This Row],[Stake]]</f>
        <v>126</v>
      </c>
      <c r="K8" s="5">
        <f>Table4[[#This Row],[Payout]]-Table4[[#This Row],[Stake]]</f>
        <v>26</v>
      </c>
    </row>
    <row r="9" spans="1:12" x14ac:dyDescent="0.2">
      <c r="A9" s="4">
        <v>0.45833333333333331</v>
      </c>
      <c r="B9" s="3">
        <v>46186</v>
      </c>
      <c r="C9" s="1" t="s">
        <v>14</v>
      </c>
      <c r="D9" s="1" t="s">
        <v>25</v>
      </c>
      <c r="E9" s="1" t="s">
        <v>11</v>
      </c>
      <c r="F9" s="1" t="s">
        <v>35</v>
      </c>
      <c r="G9" s="2">
        <v>2.379</v>
      </c>
      <c r="H9" s="5">
        <v>500</v>
      </c>
      <c r="I9" s="1" t="s">
        <v>17</v>
      </c>
      <c r="J9" s="5">
        <v>1185</v>
      </c>
      <c r="K9" s="5">
        <f>Table4[[#This Row],[Payout]]-Table4[[#This Row],[Stake]]</f>
        <v>685</v>
      </c>
    </row>
    <row r="10" spans="1:12" x14ac:dyDescent="0.2">
      <c r="A10" s="4">
        <v>0.20833333333333334</v>
      </c>
      <c r="B10" s="3">
        <v>46187</v>
      </c>
      <c r="C10" s="1" t="s">
        <v>14</v>
      </c>
      <c r="D10" s="1" t="s">
        <v>27</v>
      </c>
      <c r="E10" s="1" t="s">
        <v>11</v>
      </c>
      <c r="F10" s="1" t="s">
        <v>100</v>
      </c>
      <c r="G10" s="2">
        <v>1.22</v>
      </c>
      <c r="H10" s="5">
        <f>5.5+125+1</f>
        <v>131.5</v>
      </c>
      <c r="J10" s="5">
        <v>0</v>
      </c>
      <c r="K10" s="5">
        <f>Table4[[#This Row],[Payout]]-Table4[[#This Row],[Stake]]</f>
        <v>-131.5</v>
      </c>
    </row>
    <row r="11" spans="1:12" x14ac:dyDescent="0.2">
      <c r="A11" s="4">
        <v>0.20833333333333334</v>
      </c>
      <c r="B11" s="3">
        <v>46187</v>
      </c>
      <c r="C11" s="1" t="s">
        <v>14</v>
      </c>
      <c r="D11" s="1" t="s">
        <v>27</v>
      </c>
      <c r="E11" s="1" t="s">
        <v>11</v>
      </c>
      <c r="F11" s="1" t="s">
        <v>100</v>
      </c>
      <c r="G11" s="2">
        <v>1.2</v>
      </c>
      <c r="H11" s="5">
        <v>685</v>
      </c>
      <c r="J11" s="5">
        <v>0</v>
      </c>
      <c r="K11" s="5">
        <f>Table4[[#This Row],[Payout]]-Table4[[#This Row],[Stake]]</f>
        <v>-685</v>
      </c>
    </row>
    <row r="12" spans="1:12" x14ac:dyDescent="0.2">
      <c r="A12" s="4">
        <v>0.33333333333333331</v>
      </c>
      <c r="B12" s="3">
        <v>46187</v>
      </c>
      <c r="C12" s="1" t="s">
        <v>14</v>
      </c>
      <c r="D12" s="1" t="s">
        <v>28</v>
      </c>
      <c r="E12" s="1" t="s">
        <v>11</v>
      </c>
      <c r="F12" s="1" t="s">
        <v>29</v>
      </c>
      <c r="G12" s="2">
        <v>1.65</v>
      </c>
      <c r="H12" s="5">
        <v>500</v>
      </c>
      <c r="J12" s="5">
        <v>0</v>
      </c>
      <c r="K12" s="5">
        <f>Table4[[#This Row],[Payout]]-Table4[[#This Row],[Stake]]</f>
        <v>-500</v>
      </c>
    </row>
    <row r="13" spans="1:12" x14ac:dyDescent="0.2">
      <c r="A13" s="4">
        <v>0.33333333333333331</v>
      </c>
      <c r="B13" s="3">
        <v>46187</v>
      </c>
      <c r="C13" s="1" t="s">
        <v>14</v>
      </c>
      <c r="D13" s="1" t="s">
        <v>28</v>
      </c>
      <c r="E13" s="1" t="s">
        <v>11</v>
      </c>
      <c r="F13" s="1" t="s">
        <v>29</v>
      </c>
      <c r="G13" s="2">
        <v>1.62</v>
      </c>
      <c r="H13" s="5">
        <v>4500</v>
      </c>
      <c r="J13" s="5">
        <v>0</v>
      </c>
      <c r="K13" s="5">
        <f>IFERROR(Table4[[#This Row],[Payout]]-Table4[[#This Row],[Stake]],"")</f>
        <v>-4500</v>
      </c>
    </row>
    <row r="14" spans="1:12" x14ac:dyDescent="0.2">
      <c r="A14" s="4">
        <v>0.45833333333333331</v>
      </c>
      <c r="B14" s="3">
        <v>46187</v>
      </c>
      <c r="C14" s="1" t="s">
        <v>14</v>
      </c>
      <c r="D14" s="1" t="s">
        <v>30</v>
      </c>
      <c r="E14" s="1" t="s">
        <v>102</v>
      </c>
      <c r="F14" s="1" t="s">
        <v>103</v>
      </c>
      <c r="G14" s="2">
        <f>1.13*1.2*1.02</f>
        <v>1.3831199999999999</v>
      </c>
      <c r="H14" s="5">
        <v>500</v>
      </c>
      <c r="J14" s="5">
        <v>0</v>
      </c>
      <c r="K14" s="5">
        <f>IFERROR(Table4[[#This Row],[Payout]]-Table4[[#This Row],[Stake]],"")</f>
        <v>-500</v>
      </c>
    </row>
    <row r="15" spans="1:12" x14ac:dyDescent="0.2">
      <c r="A15" s="4">
        <v>0.125</v>
      </c>
      <c r="B15" s="3">
        <v>46188</v>
      </c>
      <c r="C15" s="1" t="s">
        <v>14</v>
      </c>
      <c r="D15" s="1" t="s">
        <v>31</v>
      </c>
      <c r="E15" s="1" t="s">
        <v>11</v>
      </c>
      <c r="F15" s="1" t="s">
        <v>32</v>
      </c>
      <c r="G15" s="2">
        <v>1.03</v>
      </c>
      <c r="H15" s="5">
        <v>500</v>
      </c>
      <c r="I15" s="1" t="s">
        <v>17</v>
      </c>
      <c r="J15" s="5">
        <f>Table4[[#This Row],[Odds]]*Table4[[#This Row],[Stake]]</f>
        <v>515</v>
      </c>
      <c r="K15" s="5">
        <f>Table4[[#This Row],[Payout]]-Table4[[#This Row],[Stake]]</f>
        <v>15</v>
      </c>
    </row>
    <row r="16" spans="1:12" x14ac:dyDescent="0.2">
      <c r="A16" s="4">
        <v>0.125</v>
      </c>
      <c r="B16" s="3">
        <v>46188</v>
      </c>
      <c r="C16" s="1" t="s">
        <v>14</v>
      </c>
      <c r="D16" s="1" t="s">
        <v>31</v>
      </c>
      <c r="E16" s="1" t="s">
        <v>11</v>
      </c>
      <c r="F16" s="1" t="s">
        <v>32</v>
      </c>
      <c r="G16" s="2">
        <v>1.05</v>
      </c>
      <c r="H16" s="5">
        <v>350</v>
      </c>
      <c r="I16" s="1" t="s">
        <v>17</v>
      </c>
      <c r="J16" s="5">
        <f>Table4[[#This Row],[Odds]]*Table4[[#This Row],[Stake]]</f>
        <v>367.5</v>
      </c>
      <c r="K16" s="5">
        <f>Table4[[#This Row],[Payout]]-Table4[[#This Row],[Stake]]</f>
        <v>17.5</v>
      </c>
    </row>
    <row r="17" spans="1:11" x14ac:dyDescent="0.2">
      <c r="A17" s="4">
        <v>8.3333333333333329E-2</v>
      </c>
      <c r="B17" s="3">
        <v>46189</v>
      </c>
      <c r="C17" s="1" t="s">
        <v>14</v>
      </c>
      <c r="D17" s="1" t="s">
        <v>33</v>
      </c>
      <c r="E17" s="1" t="s">
        <v>11</v>
      </c>
      <c r="F17" s="1" t="s">
        <v>34</v>
      </c>
      <c r="G17" s="2">
        <v>1.08</v>
      </c>
      <c r="H17" s="5">
        <v>100</v>
      </c>
      <c r="J17" s="5" t="s">
        <v>97</v>
      </c>
      <c r="K17" s="5" t="str">
        <f>IFERROR(Table4[[#This Row],[Payout]]-Table4[[#This Row],[Stake]],"")</f>
        <v/>
      </c>
    </row>
    <row r="18" spans="1:11" x14ac:dyDescent="0.2">
      <c r="A18" s="4">
        <v>8.3333333333333329E-2</v>
      </c>
      <c r="B18" s="3">
        <v>46189</v>
      </c>
      <c r="C18" s="1" t="s">
        <v>14</v>
      </c>
      <c r="D18" s="1" t="s">
        <v>33</v>
      </c>
      <c r="E18" s="1" t="s">
        <v>19</v>
      </c>
      <c r="F18" s="1" t="s">
        <v>104</v>
      </c>
      <c r="G18" s="2">
        <v>1.22</v>
      </c>
      <c r="H18" s="5">
        <v>882.5</v>
      </c>
      <c r="J18" s="5"/>
      <c r="K18" s="5"/>
    </row>
    <row r="19" spans="1:11" x14ac:dyDescent="0.2">
      <c r="A19" s="4">
        <v>0.20833333333333334</v>
      </c>
      <c r="B19" s="3">
        <v>46190</v>
      </c>
      <c r="D19" s="1" t="s">
        <v>39</v>
      </c>
      <c r="G19" s="2"/>
      <c r="H19" s="5"/>
      <c r="J19" s="5" t="s">
        <v>97</v>
      </c>
      <c r="K19" s="5" t="str">
        <f>IFERROR(Table4[[#This Row],[Payout]]-Table4[[#This Row],[Stake]],"")</f>
        <v/>
      </c>
    </row>
    <row r="20" spans="1:11" x14ac:dyDescent="0.2">
      <c r="A20" s="4">
        <v>0.33333333333333331</v>
      </c>
      <c r="B20" s="3">
        <v>46190</v>
      </c>
      <c r="D20" s="1" t="s">
        <v>40</v>
      </c>
      <c r="G20" s="2"/>
      <c r="H20" s="5"/>
      <c r="J20" s="5" t="s">
        <v>97</v>
      </c>
      <c r="K20" s="5" t="str">
        <f>IFERROR(Table4[[#This Row],[Payout]]-Table4[[#This Row],[Stake]],"")</f>
        <v/>
      </c>
    </row>
    <row r="21" spans="1:11" x14ac:dyDescent="0.2">
      <c r="A21" s="4">
        <v>0.45833333333333331</v>
      </c>
      <c r="B21" s="3">
        <v>46190</v>
      </c>
      <c r="D21" s="1" t="s">
        <v>41</v>
      </c>
      <c r="G21" s="2"/>
      <c r="H21" s="5"/>
      <c r="J21" s="5" t="s">
        <v>97</v>
      </c>
      <c r="K21" s="5" t="str">
        <f>IFERROR(Table4[[#This Row],[Payout]]-Table4[[#This Row],[Stake]],"")</f>
        <v/>
      </c>
    </row>
    <row r="22" spans="1:11" x14ac:dyDescent="0.2">
      <c r="A22" s="4">
        <v>0.125</v>
      </c>
      <c r="B22" s="3">
        <v>46191</v>
      </c>
      <c r="D22" s="1" t="s">
        <v>42</v>
      </c>
      <c r="G22" s="2"/>
      <c r="H22" s="5"/>
      <c r="J22" s="5"/>
      <c r="K22" s="5">
        <f>IFERROR(Table4[[#This Row],[Payout]]-Table4[[#This Row],[Stake]],"")</f>
        <v>0</v>
      </c>
    </row>
    <row r="23" spans="1:11" x14ac:dyDescent="0.2">
      <c r="A23" s="4">
        <v>0.5</v>
      </c>
      <c r="B23" s="3">
        <v>46191</v>
      </c>
      <c r="D23" s="1" t="s">
        <v>43</v>
      </c>
      <c r="G23" s="2"/>
      <c r="H23" s="5"/>
      <c r="J23" s="5"/>
      <c r="K23" s="5">
        <f>IFERROR(Table4[[#This Row],[Payout]]-Table4[[#This Row],[Stake]],"")</f>
        <v>0</v>
      </c>
    </row>
    <row r="24" spans="1:11" x14ac:dyDescent="0.2">
      <c r="A24" s="4">
        <v>0.33333333333333331</v>
      </c>
      <c r="B24" s="3">
        <v>46192</v>
      </c>
      <c r="D24" s="1" t="s">
        <v>44</v>
      </c>
      <c r="G24" s="2"/>
      <c r="H24" s="5"/>
      <c r="J24" s="5"/>
      <c r="K24" s="5">
        <f>IFERROR(Table4[[#This Row],[Payout]]-Table4[[#This Row],[Stake]],"")</f>
        <v>0</v>
      </c>
    </row>
    <row r="25" spans="1:11" x14ac:dyDescent="0.2">
      <c r="A25" s="4">
        <v>0.45833333333333331</v>
      </c>
      <c r="B25" s="3">
        <v>46192</v>
      </c>
      <c r="D25" s="1" t="s">
        <v>45</v>
      </c>
      <c r="G25" s="2"/>
      <c r="H25" s="5"/>
      <c r="J25" s="5"/>
      <c r="K25" s="5">
        <f>IFERROR(Table4[[#This Row],[Payout]]-Table4[[#This Row],[Stake]],"")</f>
        <v>0</v>
      </c>
    </row>
    <row r="26" spans="1:11" x14ac:dyDescent="0.2">
      <c r="A26" s="4">
        <v>0.20833333333333334</v>
      </c>
      <c r="B26" s="3">
        <v>46193</v>
      </c>
      <c r="D26" s="1" t="s">
        <v>46</v>
      </c>
      <c r="G26" s="2"/>
      <c r="H26" s="5"/>
      <c r="J26" s="5"/>
      <c r="K26" s="5">
        <f>IFERROR(Table4[[#This Row],[Payout]]-Table4[[#This Row],[Stake]],"")</f>
        <v>0</v>
      </c>
    </row>
    <row r="27" spans="1:11" x14ac:dyDescent="0.2">
      <c r="A27" s="4">
        <v>0.33333333333333331</v>
      </c>
      <c r="B27" s="3">
        <v>46193</v>
      </c>
      <c r="D27" s="1" t="s">
        <v>47</v>
      </c>
      <c r="G27" s="2"/>
      <c r="H27" s="5"/>
      <c r="J27" s="5"/>
      <c r="K27" s="5">
        <f>IFERROR(Table4[[#This Row],[Payout]]-Table4[[#This Row],[Stake]],"")</f>
        <v>0</v>
      </c>
    </row>
    <row r="28" spans="1:11" x14ac:dyDescent="0.2">
      <c r="A28" s="4">
        <v>0.4375</v>
      </c>
      <c r="B28" s="3">
        <v>46193</v>
      </c>
      <c r="D28" s="1" t="s">
        <v>48</v>
      </c>
      <c r="G28" s="2"/>
      <c r="H28" s="5"/>
      <c r="J28" s="5"/>
      <c r="K28" s="5">
        <f>IFERROR(Table4[[#This Row],[Payout]]-Table4[[#This Row],[Stake]],"")</f>
        <v>0</v>
      </c>
    </row>
    <row r="29" spans="1:11" x14ac:dyDescent="0.2">
      <c r="A29" s="4">
        <v>0.54166666666666663</v>
      </c>
      <c r="B29" s="3">
        <v>46193</v>
      </c>
      <c r="D29" s="1" t="s">
        <v>49</v>
      </c>
      <c r="G29" s="2"/>
      <c r="H29" s="5"/>
      <c r="J29" s="5"/>
      <c r="K29" s="5">
        <f>IFERROR(Table4[[#This Row],[Payout]]-Table4[[#This Row],[Stake]],"")</f>
        <v>0</v>
      </c>
    </row>
    <row r="30" spans="1:11" x14ac:dyDescent="0.2">
      <c r="A30" s="4">
        <v>0.125</v>
      </c>
      <c r="B30" s="3">
        <v>46194</v>
      </c>
      <c r="D30" s="1" t="s">
        <v>50</v>
      </c>
      <c r="G30" s="2"/>
      <c r="H30" s="5"/>
      <c r="J30" s="5"/>
      <c r="K30" s="5">
        <f>IFERROR(Table4[[#This Row],[Payout]]-Table4[[#This Row],[Stake]],"")</f>
        <v>0</v>
      </c>
    </row>
    <row r="31" spans="1:11" x14ac:dyDescent="0.2">
      <c r="A31" s="4">
        <v>0.25</v>
      </c>
      <c r="B31" s="3">
        <v>46194</v>
      </c>
      <c r="D31" s="1" t="s">
        <v>51</v>
      </c>
      <c r="G31" s="2"/>
      <c r="H31" s="5"/>
      <c r="J31" s="5"/>
      <c r="K31" s="5">
        <f>IFERROR(Table4[[#This Row],[Payout]]-Table4[[#This Row],[Stake]],"")</f>
        <v>0</v>
      </c>
    </row>
    <row r="32" spans="1:11" x14ac:dyDescent="0.2">
      <c r="A32" s="4">
        <v>0.41666666666666669</v>
      </c>
      <c r="B32" s="3">
        <v>46194</v>
      </c>
      <c r="D32" s="1" t="s">
        <v>52</v>
      </c>
      <c r="G32" s="2"/>
      <c r="H32" s="5"/>
      <c r="J32" s="5"/>
      <c r="K32" s="5">
        <f>IFERROR(Table4[[#This Row],[Payout]]-Table4[[#This Row],[Stake]],"")</f>
        <v>0</v>
      </c>
    </row>
    <row r="33" spans="1:11" x14ac:dyDescent="0.2">
      <c r="A33" s="4">
        <v>0.58333333333333337</v>
      </c>
      <c r="B33" s="3">
        <v>46194</v>
      </c>
      <c r="D33" s="1" t="s">
        <v>53</v>
      </c>
      <c r="G33" s="2"/>
      <c r="H33" s="5"/>
      <c r="J33" s="5"/>
      <c r="K33" s="5">
        <f>IFERROR(Table4[[#This Row],[Payout]]-Table4[[#This Row],[Stake]],"")</f>
        <v>0</v>
      </c>
    </row>
    <row r="34" spans="1:11" x14ac:dyDescent="0.2">
      <c r="A34" s="4">
        <v>8.3333333333333329E-2</v>
      </c>
      <c r="B34" s="3">
        <v>46195</v>
      </c>
      <c r="D34" s="1" t="s">
        <v>54</v>
      </c>
      <c r="G34" s="2"/>
      <c r="H34" s="5"/>
      <c r="J34" s="5"/>
      <c r="K34" s="5">
        <f>IFERROR(Table4[[#This Row],[Payout]]-Table4[[#This Row],[Stake]],"")</f>
        <v>0</v>
      </c>
    </row>
    <row r="35" spans="1:11" x14ac:dyDescent="0.2">
      <c r="A35" s="4">
        <v>0.20833333333333334</v>
      </c>
      <c r="B35" s="3">
        <v>46195</v>
      </c>
      <c r="D35" s="1" t="s">
        <v>55</v>
      </c>
      <c r="G35" s="2"/>
      <c r="H35" s="5"/>
      <c r="J35" s="5"/>
      <c r="K35" s="5">
        <f>IFERROR(Table4[[#This Row],[Payout]]-Table4[[#This Row],[Stake]],"")</f>
        <v>0</v>
      </c>
    </row>
    <row r="36" spans="1:11" x14ac:dyDescent="0.2">
      <c r="A36" s="4">
        <v>0.33333333333333331</v>
      </c>
      <c r="B36" s="3">
        <v>46195</v>
      </c>
      <c r="D36" s="1" t="s">
        <v>56</v>
      </c>
      <c r="G36" s="2"/>
      <c r="H36" s="5"/>
      <c r="J36" s="5"/>
      <c r="K36" s="5">
        <f>IFERROR(Table4[[#This Row],[Payout]]-Table4[[#This Row],[Stake]],"")</f>
        <v>0</v>
      </c>
    </row>
    <row r="37" spans="1:11" x14ac:dyDescent="0.2">
      <c r="A37" s="4">
        <v>0.45833333333333331</v>
      </c>
      <c r="B37" s="3">
        <v>46195</v>
      </c>
      <c r="D37" s="1" t="s">
        <v>57</v>
      </c>
      <c r="G37" s="2"/>
      <c r="H37" s="5"/>
      <c r="J37" s="5"/>
      <c r="K37" s="5">
        <f>IFERROR(Table4[[#This Row],[Payout]]-Table4[[#This Row],[Stake]],"")</f>
        <v>0</v>
      </c>
    </row>
    <row r="38" spans="1:11" x14ac:dyDescent="0.2">
      <c r="A38" s="4">
        <v>0.125</v>
      </c>
      <c r="B38" s="3">
        <v>46196</v>
      </c>
      <c r="D38" s="1" t="s">
        <v>58</v>
      </c>
      <c r="G38" s="2"/>
      <c r="H38" s="5"/>
      <c r="J38" s="5"/>
      <c r="K38" s="5">
        <f>IFERROR(Table4[[#This Row],[Payout]]-Table4[[#This Row],[Stake]],"")</f>
        <v>0</v>
      </c>
    </row>
    <row r="39" spans="1:11" x14ac:dyDescent="0.2">
      <c r="A39" s="4">
        <v>0.29166666666666669</v>
      </c>
      <c r="B39" s="3">
        <v>46196</v>
      </c>
      <c r="D39" s="1" t="s">
        <v>59</v>
      </c>
      <c r="G39" s="2"/>
      <c r="H39" s="5"/>
      <c r="J39" s="5"/>
      <c r="K39" s="5">
        <f>IFERROR(Table4[[#This Row],[Payout]]-Table4[[#This Row],[Stake]],"")</f>
        <v>0</v>
      </c>
    </row>
    <row r="40" spans="1:11" x14ac:dyDescent="0.2">
      <c r="A40" s="4">
        <v>0.41666666666666669</v>
      </c>
      <c r="B40" s="3">
        <v>46196</v>
      </c>
      <c r="D40" s="1" t="s">
        <v>60</v>
      </c>
      <c r="G40" s="2"/>
      <c r="H40" s="5"/>
      <c r="J40" s="5"/>
      <c r="K40" s="5">
        <f>IFERROR(Table4[[#This Row],[Payout]]-Table4[[#This Row],[Stake]],"")</f>
        <v>0</v>
      </c>
    </row>
    <row r="41" spans="1:11" x14ac:dyDescent="0.2">
      <c r="A41" s="4">
        <v>0.54166666666666663</v>
      </c>
      <c r="B41" s="3">
        <v>46196</v>
      </c>
      <c r="D41" s="1" t="s">
        <v>61</v>
      </c>
      <c r="G41" s="2"/>
      <c r="H41" s="5"/>
      <c r="J41" s="5"/>
      <c r="K41" s="5">
        <f>IFERROR(Table4[[#This Row],[Payout]]-Table4[[#This Row],[Stake]],"")</f>
        <v>0</v>
      </c>
    </row>
    <row r="42" spans="1:11" x14ac:dyDescent="0.2">
      <c r="A42" s="4">
        <v>0.125</v>
      </c>
      <c r="B42" s="3">
        <v>46197</v>
      </c>
      <c r="D42" s="1" t="s">
        <v>62</v>
      </c>
      <c r="G42" s="2"/>
      <c r="H42" s="5"/>
      <c r="J42" s="5"/>
      <c r="K42" s="5">
        <f>IFERROR(Table4[[#This Row],[Payout]]-Table4[[#This Row],[Stake]],"")</f>
        <v>0</v>
      </c>
    </row>
    <row r="43" spans="1:11" x14ac:dyDescent="0.2">
      <c r="A43" s="4">
        <v>0.25</v>
      </c>
      <c r="B43" s="3">
        <v>46197</v>
      </c>
      <c r="D43" s="1" t="s">
        <v>63</v>
      </c>
      <c r="G43" s="2"/>
      <c r="H43" s="5"/>
      <c r="J43" s="5"/>
      <c r="K43" s="5">
        <f>IFERROR(Table4[[#This Row],[Payout]]-Table4[[#This Row],[Stake]],"")</f>
        <v>0</v>
      </c>
    </row>
    <row r="44" spans="1:11" x14ac:dyDescent="0.2">
      <c r="A44" s="4">
        <v>0.375</v>
      </c>
      <c r="B44" s="3">
        <v>46197</v>
      </c>
      <c r="D44" s="1" t="s">
        <v>64</v>
      </c>
      <c r="G44" s="2"/>
      <c r="H44" s="5"/>
      <c r="J44" s="5"/>
      <c r="K44" s="5">
        <f>IFERROR(Table4[[#This Row],[Payout]]-Table4[[#This Row],[Stake]],"")</f>
        <v>0</v>
      </c>
    </row>
    <row r="45" spans="1:11" x14ac:dyDescent="0.2">
      <c r="A45" s="4">
        <v>0.5</v>
      </c>
      <c r="B45" s="3">
        <v>46197</v>
      </c>
      <c r="D45" s="1" t="s">
        <v>65</v>
      </c>
      <c r="G45" s="2"/>
      <c r="H45" s="5"/>
      <c r="J45" s="5"/>
      <c r="K45" s="5">
        <f>IFERROR(Table4[[#This Row],[Payout]]-Table4[[#This Row],[Stake]],"")</f>
        <v>0</v>
      </c>
    </row>
    <row r="46" spans="1:11" x14ac:dyDescent="0.2">
      <c r="A46" s="4">
        <v>0.20833333333333334</v>
      </c>
      <c r="B46" s="3">
        <v>46198</v>
      </c>
      <c r="D46" s="1" t="s">
        <v>66</v>
      </c>
      <c r="G46" s="2"/>
      <c r="H46" s="5"/>
      <c r="J46" s="5"/>
      <c r="K46" s="5">
        <f>IFERROR(Table4[[#This Row],[Payout]]-Table4[[#This Row],[Stake]],"")</f>
        <v>0</v>
      </c>
    </row>
    <row r="47" spans="1:11" x14ac:dyDescent="0.2">
      <c r="A47" s="4">
        <v>0.20833333333333334</v>
      </c>
      <c r="B47" s="3">
        <v>46198</v>
      </c>
      <c r="D47" s="1" t="s">
        <v>67</v>
      </c>
      <c r="G47" s="2"/>
      <c r="H47" s="5"/>
      <c r="J47" s="5"/>
      <c r="K47" s="5">
        <f>IFERROR(Table4[[#This Row],[Payout]]-Table4[[#This Row],[Stake]],"")</f>
        <v>0</v>
      </c>
    </row>
    <row r="48" spans="1:11" x14ac:dyDescent="0.2">
      <c r="A48" s="4">
        <v>0.33333333333333331</v>
      </c>
      <c r="B48" s="3">
        <v>46198</v>
      </c>
      <c r="D48" s="1" t="s">
        <v>68</v>
      </c>
      <c r="G48" s="2"/>
      <c r="H48" s="5"/>
      <c r="J48" s="5"/>
      <c r="K48" s="5">
        <f>IFERROR(Table4[[#This Row],[Payout]]-Table4[[#This Row],[Stake]],"")</f>
        <v>0</v>
      </c>
    </row>
    <row r="49" spans="1:11" x14ac:dyDescent="0.2">
      <c r="A49" s="4">
        <v>0.33333333333333331</v>
      </c>
      <c r="B49" s="3">
        <v>46198</v>
      </c>
      <c r="D49" s="1" t="s">
        <v>69</v>
      </c>
      <c r="G49" s="2"/>
      <c r="H49" s="5"/>
      <c r="J49" s="5"/>
      <c r="K49" s="5">
        <f>IFERROR(Table4[[#This Row],[Payout]]-Table4[[#This Row],[Stake]],"")</f>
        <v>0</v>
      </c>
    </row>
    <row r="50" spans="1:11" x14ac:dyDescent="0.2">
      <c r="A50" s="4">
        <v>0.45833333333333331</v>
      </c>
      <c r="B50" s="3">
        <v>46198</v>
      </c>
      <c r="D50" s="1" t="s">
        <v>70</v>
      </c>
      <c r="G50" s="2"/>
      <c r="H50" s="5"/>
      <c r="J50" s="5"/>
      <c r="K50" s="5">
        <f>IFERROR(Table4[[#This Row],[Payout]]-Table4[[#This Row],[Stake]],"")</f>
        <v>0</v>
      </c>
    </row>
    <row r="51" spans="1:11" x14ac:dyDescent="0.2">
      <c r="A51" s="4">
        <v>0.45833333333333331</v>
      </c>
      <c r="B51" s="3">
        <v>46198</v>
      </c>
      <c r="D51" s="1" t="s">
        <v>71</v>
      </c>
      <c r="G51" s="2"/>
      <c r="H51" s="5"/>
      <c r="J51" s="5"/>
      <c r="K51" s="5">
        <f>IFERROR(Table4[[#This Row],[Payout]]-Table4[[#This Row],[Stake]],"")</f>
        <v>0</v>
      </c>
    </row>
    <row r="52" spans="1:11" x14ac:dyDescent="0.2">
      <c r="A52" s="4">
        <v>0.25</v>
      </c>
      <c r="B52" s="3">
        <v>46199</v>
      </c>
      <c r="D52" s="1" t="s">
        <v>72</v>
      </c>
      <c r="G52" s="2"/>
      <c r="H52" s="5"/>
      <c r="J52" s="5"/>
      <c r="K52" s="5">
        <f>IFERROR(Table4[[#This Row],[Payout]]-Table4[[#This Row],[Stake]],"")</f>
        <v>0</v>
      </c>
    </row>
    <row r="53" spans="1:11" x14ac:dyDescent="0.2">
      <c r="A53" s="4">
        <v>0.25</v>
      </c>
      <c r="B53" s="3">
        <v>46199</v>
      </c>
      <c r="D53" s="1" t="s">
        <v>73</v>
      </c>
      <c r="G53" s="2"/>
      <c r="H53" s="5"/>
      <c r="J53" s="5"/>
      <c r="K53" s="5">
        <f>IFERROR(Table4[[#This Row],[Payout]]-Table4[[#This Row],[Stake]],"")</f>
        <v>0</v>
      </c>
    </row>
    <row r="54" spans="1:11" x14ac:dyDescent="0.2">
      <c r="A54" s="4">
        <v>0.375</v>
      </c>
      <c r="B54" s="3">
        <v>46199</v>
      </c>
      <c r="D54" s="1" t="s">
        <v>74</v>
      </c>
      <c r="G54" s="2"/>
      <c r="H54" s="5"/>
      <c r="J54" s="5"/>
      <c r="K54" s="5">
        <f>IFERROR(Table4[[#This Row],[Payout]]-Table4[[#This Row],[Stake]],"")</f>
        <v>0</v>
      </c>
    </row>
    <row r="55" spans="1:11" x14ac:dyDescent="0.2">
      <c r="A55" s="4">
        <v>0.375</v>
      </c>
      <c r="B55" s="3">
        <v>46199</v>
      </c>
      <c r="D55" s="1" t="s">
        <v>75</v>
      </c>
      <c r="G55" s="2"/>
      <c r="H55" s="5"/>
      <c r="J55" s="5"/>
      <c r="K55" s="5">
        <f>IFERROR(Table4[[#This Row],[Payout]]-Table4[[#This Row],[Stake]],"")</f>
        <v>0</v>
      </c>
    </row>
    <row r="56" spans="1:11" x14ac:dyDescent="0.2">
      <c r="A56" s="4">
        <v>0.5</v>
      </c>
      <c r="B56" s="3">
        <v>46199</v>
      </c>
      <c r="D56" s="1" t="s">
        <v>76</v>
      </c>
      <c r="G56" s="2"/>
      <c r="H56" s="5"/>
      <c r="J56" s="5"/>
      <c r="K56" s="5">
        <f>IFERROR(Table4[[#This Row],[Payout]]-Table4[[#This Row],[Stake]],"")</f>
        <v>0</v>
      </c>
    </row>
    <row r="57" spans="1:11" x14ac:dyDescent="0.2">
      <c r="A57" s="4">
        <v>0.5</v>
      </c>
      <c r="B57" s="3">
        <v>46199</v>
      </c>
      <c r="D57" s="1" t="s">
        <v>77</v>
      </c>
      <c r="G57" s="2"/>
      <c r="H57" s="5"/>
      <c r="J57" s="5"/>
      <c r="K57" s="5">
        <f>IFERROR(Table4[[#This Row],[Payout]]-Table4[[#This Row],[Stake]],"")</f>
        <v>0</v>
      </c>
    </row>
    <row r="58" spans="1:11" x14ac:dyDescent="0.2">
      <c r="A58" s="4">
        <v>0.20833333333333334</v>
      </c>
      <c r="B58" s="3">
        <v>46200</v>
      </c>
      <c r="D58" s="1" t="s">
        <v>78</v>
      </c>
      <c r="G58" s="2"/>
      <c r="H58" s="5"/>
      <c r="J58" s="5"/>
      <c r="K58" s="5">
        <f>IFERROR(Table4[[#This Row],[Payout]]-Table4[[#This Row],[Stake]],"")</f>
        <v>0</v>
      </c>
    </row>
    <row r="59" spans="1:11" x14ac:dyDescent="0.2">
      <c r="A59" s="4">
        <v>0.20833333333333334</v>
      </c>
      <c r="B59" s="3">
        <v>46200</v>
      </c>
      <c r="D59" s="1" t="s">
        <v>79</v>
      </c>
      <c r="G59" s="2"/>
      <c r="H59" s="5"/>
      <c r="J59" s="5"/>
      <c r="K59" s="5">
        <f>IFERROR(Table4[[#This Row],[Payout]]-Table4[[#This Row],[Stake]],"")</f>
        <v>0</v>
      </c>
    </row>
    <row r="60" spans="1:11" x14ac:dyDescent="0.2">
      <c r="A60" s="4">
        <v>0.41666666666666669</v>
      </c>
      <c r="B60" s="3">
        <v>46200</v>
      </c>
      <c r="D60" s="1" t="s">
        <v>80</v>
      </c>
      <c r="G60" s="2"/>
      <c r="H60" s="5"/>
      <c r="J60" s="5"/>
      <c r="K60" s="5">
        <f>IFERROR(Table4[[#This Row],[Payout]]-Table4[[#This Row],[Stake]],"")</f>
        <v>0</v>
      </c>
    </row>
    <row r="61" spans="1:11" x14ac:dyDescent="0.2">
      <c r="A61" s="4">
        <v>0.41666666666666669</v>
      </c>
      <c r="B61" s="3">
        <v>46200</v>
      </c>
      <c r="D61" s="1" t="s">
        <v>81</v>
      </c>
      <c r="G61" s="2"/>
      <c r="H61" s="5"/>
      <c r="J61" s="5"/>
      <c r="K61" s="5">
        <f>IFERROR(Table4[[#This Row],[Payout]]-Table4[[#This Row],[Stake]],"")</f>
        <v>0</v>
      </c>
    </row>
    <row r="62" spans="1:11" x14ac:dyDescent="0.2">
      <c r="A62" s="4">
        <v>0.54166666666666663</v>
      </c>
      <c r="B62" s="3">
        <v>46200</v>
      </c>
      <c r="D62" s="1" t="s">
        <v>82</v>
      </c>
      <c r="G62" s="2"/>
      <c r="H62" s="5"/>
      <c r="J62" s="5"/>
      <c r="K62" s="5">
        <f>IFERROR(Table4[[#This Row],[Payout]]-Table4[[#This Row],[Stake]],"")</f>
        <v>0</v>
      </c>
    </row>
    <row r="63" spans="1:11" x14ac:dyDescent="0.2">
      <c r="A63" s="4">
        <v>0.54166666666666663</v>
      </c>
      <c r="B63" s="3">
        <v>46200</v>
      </c>
      <c r="D63" s="1" t="s">
        <v>83</v>
      </c>
      <c r="G63" s="2"/>
      <c r="H63" s="5"/>
      <c r="J63" s="5"/>
      <c r="K63" s="5">
        <f>IFERROR(Table4[[#This Row],[Payout]]-Table4[[#This Row],[Stake]],"")</f>
        <v>0</v>
      </c>
    </row>
    <row r="64" spans="1:11" x14ac:dyDescent="0.2">
      <c r="A64" s="4">
        <v>0.29166666666666669</v>
      </c>
      <c r="B64" s="3">
        <v>46201</v>
      </c>
      <c r="D64" s="1" t="s">
        <v>84</v>
      </c>
      <c r="G64" s="2"/>
      <c r="H64" s="5"/>
      <c r="J64" s="5"/>
      <c r="K64" s="5">
        <f>IFERROR(Table4[[#This Row],[Payout]]-Table4[[#This Row],[Stake]],"")</f>
        <v>0</v>
      </c>
    </row>
    <row r="65" spans="1:11" x14ac:dyDescent="0.2">
      <c r="A65" s="4">
        <v>0.29166666666666669</v>
      </c>
      <c r="B65" s="3">
        <v>46201</v>
      </c>
      <c r="D65" s="1" t="s">
        <v>85</v>
      </c>
      <c r="G65" s="2"/>
      <c r="H65" s="5"/>
      <c r="J65" s="5"/>
      <c r="K65" s="5">
        <f>IFERROR(Table4[[#This Row],[Payout]]-Table4[[#This Row],[Stake]],"")</f>
        <v>0</v>
      </c>
    </row>
    <row r="66" spans="1:11" x14ac:dyDescent="0.2">
      <c r="A66" s="4">
        <v>0.39583333333333331</v>
      </c>
      <c r="B66" s="3">
        <v>46201</v>
      </c>
      <c r="D66" s="1" t="s">
        <v>86</v>
      </c>
      <c r="G66" s="2"/>
      <c r="H66" s="5"/>
      <c r="J66" s="5"/>
      <c r="K66" s="5">
        <f>IFERROR(Table4[[#This Row],[Payout]]-Table4[[#This Row],[Stake]],"")</f>
        <v>0</v>
      </c>
    </row>
    <row r="67" spans="1:11" x14ac:dyDescent="0.2">
      <c r="A67" s="4">
        <v>0.39583333333333331</v>
      </c>
      <c r="B67" s="3">
        <v>46201</v>
      </c>
      <c r="D67" s="1" t="s">
        <v>87</v>
      </c>
      <c r="G67" s="2"/>
      <c r="H67" s="5"/>
      <c r="J67" s="5"/>
      <c r="K67" s="5">
        <f>IFERROR(Table4[[#This Row],[Payout]]-Table4[[#This Row],[Stake]],"")</f>
        <v>0</v>
      </c>
    </row>
    <row r="68" spans="1:11" x14ac:dyDescent="0.2">
      <c r="A68" s="4">
        <v>0.5</v>
      </c>
      <c r="B68" s="3">
        <v>46201</v>
      </c>
      <c r="D68" s="1" t="s">
        <v>88</v>
      </c>
      <c r="G68" s="2"/>
      <c r="H68" s="5"/>
      <c r="J68" s="5"/>
      <c r="K68" s="5">
        <f>IFERROR(Table4[[#This Row],[Payout]]-Table4[[#This Row],[Stake]],"")</f>
        <v>0</v>
      </c>
    </row>
    <row r="69" spans="1:11" x14ac:dyDescent="0.2">
      <c r="A69" s="4">
        <v>0.5</v>
      </c>
      <c r="B69" s="3">
        <v>46201</v>
      </c>
      <c r="D69" s="1" t="s">
        <v>89</v>
      </c>
      <c r="G69" s="2"/>
      <c r="H69" s="5"/>
      <c r="J69" s="5"/>
      <c r="K69" s="5">
        <f>IFERROR(Table4[[#This Row],[Payout]]-Table4[[#This Row],[Stake]],"")</f>
        <v>0</v>
      </c>
    </row>
    <row r="70" spans="1:11" x14ac:dyDescent="0.2">
      <c r="A70" s="4">
        <v>0.5</v>
      </c>
      <c r="B70" s="3">
        <v>46201</v>
      </c>
      <c r="D70" s="1" t="s">
        <v>89</v>
      </c>
      <c r="G70" s="2"/>
      <c r="H70" s="5"/>
      <c r="J70" s="5"/>
      <c r="K70" s="5">
        <f>IFERROR(Table4[[#This Row],[Payout]]-Table4[[#This Row],[Stake]],"")</f>
        <v>0</v>
      </c>
    </row>
    <row r="71" spans="1:11" x14ac:dyDescent="0.2">
      <c r="A71" s="4">
        <v>0.20833333333333334</v>
      </c>
      <c r="B71" s="3">
        <v>46202</v>
      </c>
      <c r="G71" s="2"/>
      <c r="H71" s="5"/>
      <c r="J71" s="5"/>
      <c r="K71" s="5">
        <f>IFERROR(Table4[[#This Row],[Payout]]-Table4[[#This Row],[Stake]],"")</f>
        <v>0</v>
      </c>
    </row>
    <row r="72" spans="1:11" x14ac:dyDescent="0.2">
      <c r="A72" s="4">
        <v>0.125</v>
      </c>
      <c r="B72" s="3">
        <v>46203</v>
      </c>
      <c r="G72" s="2"/>
      <c r="H72" s="5"/>
      <c r="J72" s="5"/>
      <c r="K72" s="5">
        <f>IFERROR(Table4[[#This Row],[Payout]]-Table4[[#This Row],[Stake]],"")</f>
        <v>0</v>
      </c>
    </row>
    <row r="73" spans="1:11" x14ac:dyDescent="0.2">
      <c r="A73" s="4">
        <v>0.27083333333333331</v>
      </c>
      <c r="B73" s="3">
        <v>46203</v>
      </c>
      <c r="G73" s="2"/>
      <c r="H73" s="5"/>
      <c r="J73" s="5"/>
      <c r="K73" s="5">
        <f>IFERROR(Table4[[#This Row],[Payout]]-Table4[[#This Row],[Stake]],"")</f>
        <v>0</v>
      </c>
    </row>
    <row r="74" spans="1:11" x14ac:dyDescent="0.2">
      <c r="A74" s="4">
        <v>0.45833333333333331</v>
      </c>
      <c r="B74" s="3">
        <v>46203</v>
      </c>
      <c r="G74" s="2"/>
      <c r="H74" s="5"/>
      <c r="J74" s="5"/>
      <c r="K74" s="5">
        <f>IFERROR(Table4[[#This Row],[Payout]]-Table4[[#This Row],[Stake]],"")</f>
        <v>0</v>
      </c>
    </row>
    <row r="75" spans="1:11" x14ac:dyDescent="0.2">
      <c r="A75" s="4">
        <v>0.125</v>
      </c>
      <c r="B75" s="3">
        <v>46204</v>
      </c>
      <c r="G75" s="2"/>
      <c r="H75" s="5"/>
      <c r="J75" s="5"/>
      <c r="K75" s="5">
        <f>IFERROR(Table4[[#This Row],[Payout]]-Table4[[#This Row],[Stake]],"")</f>
        <v>0</v>
      </c>
    </row>
    <row r="76" spans="1:11" x14ac:dyDescent="0.2">
      <c r="A76" s="4">
        <v>0.29166666666666669</v>
      </c>
      <c r="B76" s="3">
        <v>46204</v>
      </c>
      <c r="G76" s="2"/>
      <c r="H76" s="5"/>
      <c r="J76" s="5"/>
      <c r="K76" s="5">
        <f>IFERROR(Table4[[#This Row],[Payout]]-Table4[[#This Row],[Stake]],"")</f>
        <v>0</v>
      </c>
    </row>
    <row r="77" spans="1:11" x14ac:dyDescent="0.2">
      <c r="A77" s="4">
        <v>0.45833333333333331</v>
      </c>
      <c r="B77" s="3">
        <v>46204</v>
      </c>
      <c r="G77" s="2"/>
      <c r="H77" s="5"/>
      <c r="J77" s="5"/>
      <c r="K77" s="5">
        <f>IFERROR(Table4[[#This Row],[Payout]]-Table4[[#This Row],[Stake]],"")</f>
        <v>0</v>
      </c>
    </row>
    <row r="78" spans="1:11" x14ac:dyDescent="0.2">
      <c r="A78" s="4">
        <v>8.3333333333333329E-2</v>
      </c>
      <c r="B78" s="3">
        <v>46205</v>
      </c>
      <c r="G78" s="2"/>
      <c r="H78" s="5"/>
      <c r="J78" s="5"/>
      <c r="K78" s="5">
        <f>IFERROR(Table4[[#This Row],[Payout]]-Table4[[#This Row],[Stake]],"")</f>
        <v>0</v>
      </c>
    </row>
    <row r="79" spans="1:11" x14ac:dyDescent="0.2">
      <c r="A79" s="4">
        <v>0.25</v>
      </c>
      <c r="B79" s="3">
        <v>46205</v>
      </c>
      <c r="G79" s="2"/>
      <c r="H79" s="5"/>
      <c r="J79" s="5"/>
      <c r="K79" s="5">
        <f>IFERROR(Table4[[#This Row],[Payout]]-Table4[[#This Row],[Stake]],"")</f>
        <v>0</v>
      </c>
    </row>
    <row r="80" spans="1:11" x14ac:dyDescent="0.2">
      <c r="A80" s="4">
        <v>0.41666666666666669</v>
      </c>
      <c r="B80" s="3">
        <v>46205</v>
      </c>
      <c r="G80" s="2"/>
      <c r="H80" s="5"/>
      <c r="J80" s="5"/>
      <c r="K80" s="5">
        <f>IFERROR(Table4[[#This Row],[Payout]]-Table4[[#This Row],[Stake]],"")</f>
        <v>0</v>
      </c>
    </row>
    <row r="81" spans="1:11" x14ac:dyDescent="0.2">
      <c r="A81" s="4">
        <v>0.20833333333333334</v>
      </c>
      <c r="B81" s="3">
        <v>46206</v>
      </c>
      <c r="G81" s="2"/>
      <c r="H81" s="5"/>
      <c r="J81" s="5"/>
      <c r="K81" s="5">
        <f>IFERROR(Table4[[#This Row],[Payout]]-Table4[[#This Row],[Stake]],"")</f>
        <v>0</v>
      </c>
    </row>
    <row r="82" spans="1:11" x14ac:dyDescent="0.2">
      <c r="A82" s="4">
        <v>0.375</v>
      </c>
      <c r="B82" s="3">
        <v>46206</v>
      </c>
      <c r="G82" s="2"/>
      <c r="H82" s="5"/>
      <c r="J82" s="5"/>
      <c r="K82" s="5">
        <f>IFERROR(Table4[[#This Row],[Payout]]-Table4[[#This Row],[Stake]],"")</f>
        <v>0</v>
      </c>
    </row>
    <row r="83" spans="1:11" x14ac:dyDescent="0.2">
      <c r="A83" s="4">
        <v>0.54166666666666663</v>
      </c>
      <c r="B83" s="3">
        <v>46206</v>
      </c>
      <c r="G83" s="2"/>
      <c r="H83" s="5"/>
      <c r="J83" s="5"/>
      <c r="K83" s="5">
        <f>IFERROR(Table4[[#This Row],[Payout]]-Table4[[#This Row],[Stake]],"")</f>
        <v>0</v>
      </c>
    </row>
    <row r="84" spans="1:11" x14ac:dyDescent="0.2">
      <c r="A84" s="4">
        <v>0.16666666666666666</v>
      </c>
      <c r="B84" s="3">
        <v>46207</v>
      </c>
      <c r="G84" s="2"/>
      <c r="H84" s="5"/>
      <c r="J84" s="5"/>
      <c r="K84" s="5">
        <f>IFERROR(Table4[[#This Row],[Payout]]-Table4[[#This Row],[Stake]],"")</f>
        <v>0</v>
      </c>
    </row>
    <row r="85" spans="1:11" x14ac:dyDescent="0.2">
      <c r="A85" s="4">
        <v>0.33333333333333331</v>
      </c>
      <c r="B85" s="3">
        <v>46207</v>
      </c>
      <c r="G85" s="2"/>
      <c r="H85" s="5"/>
      <c r="J85" s="5"/>
      <c r="K85" s="5">
        <f>IFERROR(Table4[[#This Row],[Payout]]-Table4[[#This Row],[Stake]],"")</f>
        <v>0</v>
      </c>
    </row>
    <row r="86" spans="1:11" x14ac:dyDescent="0.2">
      <c r="A86" s="4">
        <v>0.47916666666666669</v>
      </c>
      <c r="B86" s="3">
        <v>46207</v>
      </c>
      <c r="G86" s="2"/>
      <c r="H86" s="5"/>
      <c r="J86" s="5"/>
      <c r="K86" s="5">
        <f>IFERROR(Table4[[#This Row],[Payout]]-Table4[[#This Row],[Stake]],"")</f>
        <v>0</v>
      </c>
    </row>
    <row r="87" spans="1:11" x14ac:dyDescent="0.2">
      <c r="A87" s="4">
        <v>0.125</v>
      </c>
      <c r="B87" s="3">
        <v>46208</v>
      </c>
      <c r="G87" s="2"/>
      <c r="H87" s="5"/>
      <c r="J87" s="5"/>
      <c r="K87" s="5">
        <f>IFERROR(Table4[[#This Row],[Payout]]-Table4[[#This Row],[Stake]],"")</f>
        <v>0</v>
      </c>
    </row>
    <row r="88" spans="1:11" x14ac:dyDescent="0.2">
      <c r="A88" s="4">
        <v>0.29166666666666669</v>
      </c>
      <c r="B88" s="3">
        <v>46208</v>
      </c>
      <c r="G88" s="2"/>
      <c r="H88" s="5"/>
      <c r="J88" s="5"/>
      <c r="K88" s="5">
        <f>IFERROR(Table4[[#This Row],[Payout]]-Table4[[#This Row],[Stake]],"")</f>
        <v>0</v>
      </c>
    </row>
    <row r="89" spans="1:11" x14ac:dyDescent="0.2">
      <c r="A89" s="4">
        <v>0.25</v>
      </c>
      <c r="B89" s="3">
        <v>46209</v>
      </c>
      <c r="G89" s="2"/>
      <c r="H89" s="5"/>
      <c r="J89" s="5"/>
      <c r="K89" s="5">
        <f>IFERROR(Table4[[#This Row],[Payout]]-Table4[[#This Row],[Stake]],"")</f>
        <v>0</v>
      </c>
    </row>
    <row r="90" spans="1:11" x14ac:dyDescent="0.2">
      <c r="A90" s="4">
        <v>0.41666666666666669</v>
      </c>
      <c r="B90" s="3">
        <v>46209</v>
      </c>
      <c r="G90" s="2"/>
      <c r="H90" s="5"/>
      <c r="J90" s="5"/>
      <c r="K90" s="5">
        <f>IFERROR(Table4[[#This Row],[Payout]]-Table4[[#This Row],[Stake]],"")</f>
        <v>0</v>
      </c>
    </row>
    <row r="91" spans="1:11" x14ac:dyDescent="0.2">
      <c r="A91" s="4">
        <v>0.20833333333333334</v>
      </c>
      <c r="B91" s="3">
        <v>46210</v>
      </c>
      <c r="G91" s="2"/>
      <c r="H91" s="5"/>
      <c r="J91" s="5"/>
      <c r="K91" s="5">
        <f>IFERROR(Table4[[#This Row],[Payout]]-Table4[[#This Row],[Stake]],"")</f>
        <v>0</v>
      </c>
    </row>
    <row r="92" spans="1:11" x14ac:dyDescent="0.2">
      <c r="A92" s="4">
        <v>0.41666666666666669</v>
      </c>
      <c r="B92" s="3">
        <v>46210</v>
      </c>
      <c r="G92" s="2"/>
      <c r="H92" s="5"/>
      <c r="J92" s="5"/>
      <c r="K92" s="5">
        <f>IFERROR(Table4[[#This Row],[Payout]]-Table4[[#This Row],[Stake]],"")</f>
        <v>0</v>
      </c>
    </row>
    <row r="93" spans="1:11" x14ac:dyDescent="0.2">
      <c r="A93" s="4">
        <v>8.3333333333333329E-2</v>
      </c>
      <c r="B93" s="3">
        <v>46211</v>
      </c>
      <c r="G93" s="2"/>
      <c r="H93" s="5"/>
      <c r="J93" s="5"/>
      <c r="K93" s="5">
        <f>IFERROR(Table4[[#This Row],[Payout]]-Table4[[#This Row],[Stake]],"")</f>
        <v>0</v>
      </c>
    </row>
    <row r="94" spans="1:11" x14ac:dyDescent="0.2">
      <c r="A94" s="4">
        <v>0.25</v>
      </c>
      <c r="B94" s="3">
        <v>46211</v>
      </c>
      <c r="G94" s="2"/>
      <c r="H94" s="5"/>
      <c r="J94" s="5"/>
      <c r="K94" s="5">
        <f>IFERROR(Table4[[#This Row],[Payout]]-Table4[[#This Row],[Stake]],"")</f>
        <v>0</v>
      </c>
    </row>
    <row r="95" spans="1:11" x14ac:dyDescent="0.2">
      <c r="A95" s="4">
        <v>0.25</v>
      </c>
      <c r="B95" s="3">
        <v>46213</v>
      </c>
      <c r="G95" s="2"/>
      <c r="H95" s="5"/>
      <c r="J95" s="5"/>
      <c r="K95" s="5">
        <f>IFERROR(Table4[[#This Row],[Payout]]-Table4[[#This Row],[Stake]],"")</f>
        <v>0</v>
      </c>
    </row>
    <row r="96" spans="1:11" x14ac:dyDescent="0.2">
      <c r="A96" s="4">
        <v>0.20833333333333334</v>
      </c>
      <c r="B96" s="3">
        <v>46214</v>
      </c>
      <c r="G96" s="2"/>
      <c r="H96" s="5"/>
      <c r="J96" s="5"/>
      <c r="K96" s="5">
        <f>IFERROR(Table4[[#This Row],[Payout]]-Table4[[#This Row],[Stake]],"")</f>
        <v>0</v>
      </c>
    </row>
    <row r="97" spans="1:11" x14ac:dyDescent="0.2">
      <c r="A97" s="4">
        <v>0.29166666666666669</v>
      </c>
      <c r="B97" s="3">
        <v>46215</v>
      </c>
      <c r="G97" s="2"/>
      <c r="H97" s="5"/>
      <c r="J97" s="5"/>
      <c r="K97" s="5">
        <f>IFERROR(Table4[[#This Row],[Payout]]-Table4[[#This Row],[Stake]],"")</f>
        <v>0</v>
      </c>
    </row>
    <row r="98" spans="1:11" x14ac:dyDescent="0.2">
      <c r="A98" s="4">
        <v>0.45833333333333331</v>
      </c>
      <c r="B98" s="3">
        <v>46215</v>
      </c>
      <c r="G98" s="2"/>
      <c r="H98" s="5"/>
      <c r="J98" s="5"/>
      <c r="K98" s="5">
        <f>IFERROR(Table4[[#This Row],[Payout]]-Table4[[#This Row],[Stake]],"")</f>
        <v>0</v>
      </c>
    </row>
    <row r="99" spans="1:11" x14ac:dyDescent="0.2">
      <c r="A99" s="4">
        <v>0.20833333333333334</v>
      </c>
      <c r="B99" s="3">
        <v>46218</v>
      </c>
      <c r="G99" s="2"/>
      <c r="H99" s="5"/>
      <c r="J99" s="5"/>
      <c r="K99" s="5">
        <f>IFERROR(Table4[[#This Row],[Payout]]-Table4[[#This Row],[Stake]],"")</f>
        <v>0</v>
      </c>
    </row>
    <row r="100" spans="1:11" x14ac:dyDescent="0.2">
      <c r="A100" s="4">
        <v>0.20833333333333334</v>
      </c>
      <c r="B100" s="3">
        <v>46219</v>
      </c>
      <c r="G100" s="2"/>
      <c r="H100" s="5"/>
      <c r="J100" s="5"/>
      <c r="K100" s="5">
        <f>IFERROR(Table4[[#This Row],[Payout]]-Table4[[#This Row],[Stake]],"")</f>
        <v>0</v>
      </c>
    </row>
    <row r="101" spans="1:11" x14ac:dyDescent="0.2">
      <c r="A101" s="4">
        <v>0.29166666666666669</v>
      </c>
      <c r="B101" s="3">
        <v>46222</v>
      </c>
      <c r="G101" s="2"/>
      <c r="H101" s="5"/>
      <c r="J101" s="5"/>
      <c r="K101" s="5">
        <f>IFERROR(Table4[[#This Row],[Payout]]-Table4[[#This Row],[Stake]],"")</f>
        <v>0</v>
      </c>
    </row>
    <row r="102" spans="1:11" x14ac:dyDescent="0.2">
      <c r="A102" s="4">
        <v>0.20833333333333334</v>
      </c>
      <c r="B102" s="3">
        <v>46223</v>
      </c>
      <c r="G102" s="2"/>
      <c r="H102" s="5"/>
      <c r="J102" s="5"/>
      <c r="K102" s="5">
        <f>IFERROR(Table4[[#This Row],[Payout]]-Table4[[#This Row],[Stake]],"")</f>
        <v>0</v>
      </c>
    </row>
    <row r="103" spans="1:11" x14ac:dyDescent="0.2">
      <c r="A103" s="4">
        <v>0.33333333333333331</v>
      </c>
      <c r="B103" s="3">
        <v>46224</v>
      </c>
      <c r="C103" s="1" t="s">
        <v>36</v>
      </c>
      <c r="D103" s="1" t="s">
        <v>37</v>
      </c>
      <c r="E103" s="1" t="s">
        <v>38</v>
      </c>
      <c r="F103" s="1" t="s">
        <v>29</v>
      </c>
      <c r="G103" s="2">
        <v>1.22</v>
      </c>
      <c r="H103" s="5"/>
      <c r="J103" s="5" t="s">
        <v>97</v>
      </c>
      <c r="K103" s="5" t="str">
        <f>IFERROR(Table4[[#This Row],[Payout]]-Table4[[#This Row],[Stake]],"")</f>
        <v/>
      </c>
    </row>
    <row r="104" spans="1:11" x14ac:dyDescent="0.2">
      <c r="A104" s="4">
        <v>0.45833333333333331</v>
      </c>
      <c r="B104" s="3">
        <v>46224</v>
      </c>
      <c r="C104" s="1" t="s">
        <v>36</v>
      </c>
      <c r="D104" s="1" t="s">
        <v>37</v>
      </c>
      <c r="E104" s="1" t="s">
        <v>38</v>
      </c>
      <c r="F104" s="1" t="s">
        <v>29</v>
      </c>
      <c r="G104" s="2">
        <v>1.22</v>
      </c>
      <c r="H104" s="5">
        <v>330</v>
      </c>
      <c r="J104" s="5"/>
      <c r="K104" s="5"/>
    </row>
    <row r="105" spans="1:11" x14ac:dyDescent="0.2">
      <c r="A105" s="4">
        <v>0.45833333333333331</v>
      </c>
      <c r="B105" s="3">
        <v>46224</v>
      </c>
      <c r="C105" s="1" t="s">
        <v>36</v>
      </c>
      <c r="D105" s="1" t="s">
        <v>90</v>
      </c>
      <c r="E105" s="1" t="s">
        <v>38</v>
      </c>
      <c r="F105" s="1" t="s">
        <v>32</v>
      </c>
      <c r="G105" s="2">
        <v>1.3</v>
      </c>
      <c r="H105" s="5">
        <v>200</v>
      </c>
      <c r="J105" s="5"/>
      <c r="K105" s="5"/>
    </row>
    <row r="106" spans="1:11" x14ac:dyDescent="0.2">
      <c r="A106" s="4">
        <v>0.45833333333333331</v>
      </c>
      <c r="B106" s="3">
        <v>46224</v>
      </c>
      <c r="C106" s="1" t="s">
        <v>36</v>
      </c>
      <c r="D106" s="1" t="s">
        <v>90</v>
      </c>
      <c r="E106" s="1" t="s">
        <v>38</v>
      </c>
      <c r="F106" s="1" t="s">
        <v>32</v>
      </c>
      <c r="G106" s="2">
        <v>1.36</v>
      </c>
      <c r="H106" s="5">
        <v>150</v>
      </c>
      <c r="J106" s="5"/>
      <c r="K106" s="5"/>
    </row>
    <row r="107" spans="1:11" x14ac:dyDescent="0.2">
      <c r="A107" s="4">
        <v>0.45833333333333331</v>
      </c>
      <c r="B107" s="3">
        <v>46224</v>
      </c>
      <c r="C107" s="1" t="s">
        <v>36</v>
      </c>
      <c r="D107" s="1" t="s">
        <v>91</v>
      </c>
      <c r="E107" s="1" t="s">
        <v>38</v>
      </c>
      <c r="F107" s="1" t="s">
        <v>92</v>
      </c>
      <c r="G107" s="2">
        <v>1.4</v>
      </c>
      <c r="H107" s="5">
        <v>100</v>
      </c>
      <c r="J107" s="5"/>
      <c r="K107" s="5"/>
    </row>
    <row r="108" spans="1:11" x14ac:dyDescent="0.2">
      <c r="A108" s="4">
        <v>0.45833333333333331</v>
      </c>
      <c r="B108" s="3">
        <v>46224</v>
      </c>
      <c r="C108" s="1" t="s">
        <v>36</v>
      </c>
      <c r="D108" s="1" t="s">
        <v>91</v>
      </c>
      <c r="E108" s="1" t="s">
        <v>93</v>
      </c>
      <c r="F108" s="1" t="s">
        <v>94</v>
      </c>
      <c r="G108" s="2">
        <v>1.2</v>
      </c>
      <c r="H108" s="5">
        <v>200</v>
      </c>
      <c r="J108" s="5"/>
      <c r="K108" s="5"/>
    </row>
    <row r="109" spans="1:11" x14ac:dyDescent="0.2">
      <c r="A109" s="4">
        <v>0.45833333333333331</v>
      </c>
      <c r="B109" s="3">
        <v>46224</v>
      </c>
      <c r="C109" s="1" t="s">
        <v>36</v>
      </c>
      <c r="D109" s="1" t="s">
        <v>95</v>
      </c>
      <c r="E109" s="1" t="s">
        <v>38</v>
      </c>
      <c r="F109" s="1" t="s">
        <v>96</v>
      </c>
      <c r="G109" s="2">
        <v>2.36</v>
      </c>
      <c r="H109" s="5">
        <v>300</v>
      </c>
      <c r="J109" s="5"/>
      <c r="K109" s="5"/>
    </row>
    <row r="110" spans="1:11" x14ac:dyDescent="0.2">
      <c r="A110" s="4"/>
      <c r="B110" s="3"/>
      <c r="G110" s="2"/>
      <c r="H110" s="5"/>
      <c r="J110" s="5" t="s">
        <v>97</v>
      </c>
      <c r="K110" s="5" t="str">
        <f>IFERROR(Table4[[#This Row],[Payout]]-Table4[[#This Row],[Stake]],"")</f>
        <v/>
      </c>
    </row>
    <row r="111" spans="1:11" x14ac:dyDescent="0.2">
      <c r="A111" s="4"/>
      <c r="B111" s="3"/>
      <c r="G111" s="2"/>
      <c r="H111" s="5"/>
      <c r="J111" s="5" t="s">
        <v>97</v>
      </c>
      <c r="K111" s="5" t="str">
        <f>IFERROR(Table4[[#This Row],[Payout]]-Table4[[#This Row],[Stake]],"")</f>
        <v/>
      </c>
    </row>
  </sheetData>
  <dataValidations disablePrompts="1" count="1">
    <dataValidation type="list" allowBlank="1" showInputMessage="1" showErrorMessage="1" sqref="C5:C111" xr:uid="{671B666A-83EB-284D-B450-762C940C3B20}">
      <formula1>"Matches,Futures,Group Betting,Australia Hub,Daily Markets"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Linze Zhang</dc:creator>
  <cp:lastModifiedBy>Linze Zhang</cp:lastModifiedBy>
  <dcterms:created xsi:type="dcterms:W3CDTF">2026-06-12T08:38:30Z</dcterms:created>
  <dcterms:modified xsi:type="dcterms:W3CDTF">2026-06-14T21:22:55Z</dcterms:modified>
</cp:coreProperties>
</file>